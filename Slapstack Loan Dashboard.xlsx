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Potfolio\Excel Work\"/>
    </mc:Choice>
  </mc:AlternateContent>
  <xr:revisionPtr revIDLastSave="0" documentId="13_ncr:1_{93425532-D65B-4ADB-B509-8F8D281E318D}" xr6:coauthVersionLast="47" xr6:coauthVersionMax="47" xr10:uidLastSave="{00000000-0000-0000-0000-000000000000}"/>
  <bookViews>
    <workbookView xWindow="-110" yWindow="-110" windowWidth="19420" windowHeight="10300" activeTab="2" xr2:uid="{A09B967E-B35B-4B14-938E-75FEA66DABC1}"/>
  </bookViews>
  <sheets>
    <sheet name="Data" sheetId="1" r:id="rId1"/>
    <sheet name="Payment structure" sheetId="4" r:id="rId2"/>
    <sheet name="Dashboard" sheetId="2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C10" i="2"/>
  <c r="G14" i="2"/>
  <c r="G2" i="4"/>
  <c r="F2" i="4" a="1"/>
  <c r="G10" i="2"/>
  <c r="I14" i="2"/>
  <c r="I10" i="2"/>
  <c r="G6" i="2"/>
  <c r="E14" i="2"/>
  <c r="D14" i="2"/>
  <c r="C14" i="2"/>
  <c r="E10" i="2"/>
  <c r="D10" i="2"/>
  <c r="E6" i="2"/>
  <c r="D6" i="2"/>
  <c r="H18" i="2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O6" i="1"/>
  <c r="L6" i="1"/>
  <c r="O5" i="1"/>
  <c r="L5" i="1"/>
  <c r="O4" i="1"/>
  <c r="L4" i="1"/>
  <c r="O3" i="1"/>
  <c r="L3" i="1"/>
  <c r="O2" i="1"/>
  <c r="L2" i="1"/>
  <c r="I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<sst xmlns="http://schemas.openxmlformats.org/spreadsheetml/2006/main" count="173" uniqueCount="77">
  <si>
    <t>S/N</t>
  </si>
  <si>
    <t>CUSTOMERS NAMES</t>
  </si>
  <si>
    <t>ACCOUNT DETAILS</t>
  </si>
  <si>
    <t>GENDER</t>
  </si>
  <si>
    <t>BVN</t>
  </si>
  <si>
    <t>DOB</t>
  </si>
  <si>
    <t>BANK NAME</t>
  </si>
  <si>
    <t>LOAN AMOUNT</t>
  </si>
  <si>
    <t>ANNUAL RATE(%)</t>
  </si>
  <si>
    <t>LOAN DURATION</t>
  </si>
  <si>
    <t>NUMBER OF PAYMENT</t>
  </si>
  <si>
    <t>MONTHLY PAYMENT</t>
  </si>
  <si>
    <t>LOAN DATE</t>
  </si>
  <si>
    <t>DUE DATE</t>
  </si>
  <si>
    <t>TOTAL AMOUNT</t>
  </si>
  <si>
    <t>Emmanuel peter</t>
  </si>
  <si>
    <t>Male</t>
  </si>
  <si>
    <t>First Bank</t>
  </si>
  <si>
    <t>20/03/2021</t>
  </si>
  <si>
    <t>20/03/2023</t>
  </si>
  <si>
    <t>Calistus Ikechukwu</t>
  </si>
  <si>
    <t>Zenith</t>
  </si>
  <si>
    <t>20/03/2024</t>
  </si>
  <si>
    <t>James mary</t>
  </si>
  <si>
    <t>Female</t>
  </si>
  <si>
    <t>Access</t>
  </si>
  <si>
    <t>20/03/2020</t>
  </si>
  <si>
    <t>20/03/2022</t>
  </si>
  <si>
    <t>Joseph Serah</t>
  </si>
  <si>
    <t>Fidelity</t>
  </si>
  <si>
    <t>Thamos Benard</t>
  </si>
  <si>
    <t>20/08/1988</t>
  </si>
  <si>
    <t>UBA</t>
  </si>
  <si>
    <t>Onovo Martins</t>
  </si>
  <si>
    <t>21/06/1987</t>
  </si>
  <si>
    <t>GTB</t>
  </si>
  <si>
    <t>20/03/2019</t>
  </si>
  <si>
    <t>Eze Ikechukwu</t>
  </si>
  <si>
    <t>FCMB</t>
  </si>
  <si>
    <t>Jeremiah Justina</t>
  </si>
  <si>
    <t>17/5/1998</t>
  </si>
  <si>
    <t>Ibrahim Azeez</t>
  </si>
  <si>
    <t>15/12/1997</t>
  </si>
  <si>
    <t>Matthew Syvia</t>
  </si>
  <si>
    <t>Samson Adekola</t>
  </si>
  <si>
    <t>20/03/2018</t>
  </si>
  <si>
    <t>Ude Peace</t>
  </si>
  <si>
    <t>14/02/1998</t>
  </si>
  <si>
    <t>Okiri Anne</t>
  </si>
  <si>
    <t>Ezeokeke chinaza</t>
  </si>
  <si>
    <t>Kachi Confidence</t>
  </si>
  <si>
    <t>16/01/1996</t>
  </si>
  <si>
    <t>Abdul Azeez</t>
  </si>
  <si>
    <t>Matthew Francis</t>
  </si>
  <si>
    <t>Samuel Adewale</t>
  </si>
  <si>
    <t>Wale Sunday</t>
  </si>
  <si>
    <t>Ugonna Anne</t>
  </si>
  <si>
    <t>Eze chinaza</t>
  </si>
  <si>
    <t>Onuorah Confidence</t>
  </si>
  <si>
    <t>Customer Name</t>
  </si>
  <si>
    <t>Gender</t>
  </si>
  <si>
    <t>Monthly Payment</t>
  </si>
  <si>
    <t>Total Amount Left</t>
  </si>
  <si>
    <t>Account Number</t>
  </si>
  <si>
    <t>Bank Name</t>
  </si>
  <si>
    <t>Loan Amount</t>
  </si>
  <si>
    <t>Total Amount</t>
  </si>
  <si>
    <t>Loan Date</t>
  </si>
  <si>
    <t>Annual Rate(%)</t>
  </si>
  <si>
    <t>Loan Duration(Years)</t>
  </si>
  <si>
    <t>Number of Payment</t>
  </si>
  <si>
    <t>Total Amount Paid</t>
  </si>
  <si>
    <t>Due Date</t>
  </si>
  <si>
    <t>Today's Date</t>
  </si>
  <si>
    <t>Date</t>
  </si>
  <si>
    <t>Amount</t>
  </si>
  <si>
    <t>Customer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</si>
</sst>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0000000000"/>
    <numFmt numFmtId="165" formatCode="&quot;£&quot;#,##0.00"/>
    <numFmt numFmtId="166" formatCode="[$-F800]dddd\,\ mmmm\ dd\,\ yyyy"/>
    <numFmt numFmtId="167" formatCode="&quot;$&quot;#,##0.00"/>
  </numFmts>
  <fonts count="10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6" fillId="4" borderId="0" xfId="0" applyFont="1" applyFill="1"/>
    <xf numFmtId="0" fontId="9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6" fontId="0" fillId="0" borderId="0" xfId="0" applyNumberFormat="1"/>
    <xf numFmtId="165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3" fillId="2" borderId="0" xfId="0" applyFont="1" applyFill="1" applyAlignment="1">
      <alignment horizontal="center" vertical="center"/>
    </xf>
    <xf numFmtId="167" fontId="3" fillId="2" borderId="0" xfId="2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</cellXfs>
  <cellStyles count="3">
    <cellStyle name="Currency" xfId="2" builtinId="4"/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F9B1507-6D53-4C80-9FBA-C91110163A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38100</xdr:rowOff>
    </xdr:from>
    <xdr:to>
      <xdr:col>9</xdr:col>
      <xdr:colOff>371475</xdr:colOff>
      <xdr:row>2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BBEA9BD-CB4B-0B58-AD74-0C18B1DD615A}"/>
            </a:ext>
          </a:extLst>
        </xdr:cNvPr>
        <xdr:cNvSpPr/>
      </xdr:nvSpPr>
      <xdr:spPr>
        <a:xfrm>
          <a:off x="38101" y="38100"/>
          <a:ext cx="11525249" cy="485775"/>
        </a:xfrm>
        <a:prstGeom prst="rect">
          <a:avLst/>
        </a:prstGeom>
        <a:solidFill>
          <a:schemeClr val="tx1"/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000" b="1" baseline="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</a:rPr>
            <a:t> SLAPSTACK LOAN CUSTOMER DASHBOARD </a:t>
          </a:r>
          <a:endParaRPr lang="en-GB" sz="3000" b="1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4D99-16B0-4A2B-B9EC-445EC7AC014E}">
  <dimension ref="A1:O23"/>
  <sheetViews>
    <sheetView workbookViewId="0">
      <selection activeCell="C15" sqref="C15"/>
    </sheetView>
  </sheetViews>
  <sheetFormatPr defaultRowHeight="14.5" x14ac:dyDescent="0.35"/>
  <cols>
    <col min="1" max="1" width="5" bestFit="1" customWidth="1"/>
    <col min="2" max="2" width="19.81640625" bestFit="1" customWidth="1"/>
    <col min="3" max="3" width="18.1796875" bestFit="1" customWidth="1"/>
    <col min="4" max="4" width="8.81640625" bestFit="1" customWidth="1"/>
    <col min="5" max="5" width="11" bestFit="1" customWidth="1"/>
    <col min="6" max="6" width="10.7265625" bestFit="1" customWidth="1"/>
    <col min="7" max="7" width="12.54296875" bestFit="1" customWidth="1"/>
    <col min="8" max="8" width="15.54296875" bestFit="1" customWidth="1"/>
    <col min="9" max="9" width="17.26953125" bestFit="1" customWidth="1"/>
    <col min="10" max="10" width="16.7265625" bestFit="1" customWidth="1"/>
    <col min="11" max="11" width="22.1796875" bestFit="1" customWidth="1"/>
    <col min="12" max="12" width="20.1796875" bestFit="1" customWidth="1"/>
    <col min="13" max="13" width="11.54296875" bestFit="1" customWidth="1"/>
    <col min="14" max="14" width="10.7265625" bestFit="1" customWidth="1"/>
    <col min="15" max="15" width="16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</v>
      </c>
      <c r="B2" s="2" t="s">
        <v>15</v>
      </c>
      <c r="C2" s="2">
        <v>3134548545</v>
      </c>
      <c r="D2" s="2" t="s">
        <v>16</v>
      </c>
      <c r="E2" s="2">
        <v>2523980712</v>
      </c>
      <c r="F2" s="3">
        <v>34851</v>
      </c>
      <c r="G2" s="2" t="s">
        <v>17</v>
      </c>
      <c r="H2" s="24">
        <v>655500</v>
      </c>
      <c r="I2" s="4">
        <v>0.02</v>
      </c>
      <c r="J2" s="5">
        <v>2</v>
      </c>
      <c r="K2" s="2">
        <v>24</v>
      </c>
      <c r="L2" s="24">
        <f>H2/K2</f>
        <v>27312.5</v>
      </c>
      <c r="M2" s="6" t="s">
        <v>18</v>
      </c>
      <c r="N2" s="6" t="s">
        <v>19</v>
      </c>
      <c r="O2" s="24">
        <f>H2+I2*H2</f>
        <v>668610</v>
      </c>
    </row>
    <row r="3" spans="1:15" x14ac:dyDescent="0.35">
      <c r="A3" s="2">
        <v>2</v>
      </c>
      <c r="B3" s="2" t="s">
        <v>20</v>
      </c>
      <c r="C3" s="2">
        <v>2346158667</v>
      </c>
      <c r="D3" s="2" t="s">
        <v>16</v>
      </c>
      <c r="E3" s="7">
        <v>8149297791</v>
      </c>
      <c r="F3" s="3">
        <v>31115</v>
      </c>
      <c r="G3" s="2" t="s">
        <v>21</v>
      </c>
      <c r="H3" s="24">
        <v>646400</v>
      </c>
      <c r="I3" s="4">
        <v>0.04</v>
      </c>
      <c r="J3" s="5">
        <v>3</v>
      </c>
      <c r="K3" s="2">
        <v>36</v>
      </c>
      <c r="L3" s="24">
        <f t="shared" ref="L3:L23" si="0">H3/K3</f>
        <v>17955.555555555555</v>
      </c>
      <c r="M3" s="6" t="s">
        <v>18</v>
      </c>
      <c r="N3" s="6" t="s">
        <v>22</v>
      </c>
      <c r="O3" s="24">
        <f t="shared" ref="O3:O23" si="1">H3+I3*H3</f>
        <v>672256</v>
      </c>
    </row>
    <row r="4" spans="1:15" x14ac:dyDescent="0.35">
      <c r="A4" s="2">
        <v>3</v>
      </c>
      <c r="B4" s="2" t="s">
        <v>23</v>
      </c>
      <c r="C4" s="2">
        <v>5468723876</v>
      </c>
      <c r="D4" s="2" t="s">
        <v>24</v>
      </c>
      <c r="E4" s="7">
        <v>7065128013</v>
      </c>
      <c r="F4" s="3">
        <v>36162</v>
      </c>
      <c r="G4" s="2" t="s">
        <v>25</v>
      </c>
      <c r="H4" s="24">
        <v>452000</v>
      </c>
      <c r="I4" s="4">
        <v>5.6000000000000001E-2</v>
      </c>
      <c r="J4" s="5">
        <v>2</v>
      </c>
      <c r="K4" s="2">
        <v>24</v>
      </c>
      <c r="L4" s="24">
        <f t="shared" si="0"/>
        <v>18833.333333333332</v>
      </c>
      <c r="M4" s="6" t="s">
        <v>26</v>
      </c>
      <c r="N4" s="6" t="s">
        <v>27</v>
      </c>
      <c r="O4" s="24">
        <f t="shared" si="1"/>
        <v>477312</v>
      </c>
    </row>
    <row r="5" spans="1:15" x14ac:dyDescent="0.35">
      <c r="A5" s="2">
        <v>4</v>
      </c>
      <c r="B5" s="2" t="s">
        <v>28</v>
      </c>
      <c r="C5" s="2">
        <v>3245879042</v>
      </c>
      <c r="D5" s="2" t="s">
        <v>24</v>
      </c>
      <c r="E5" s="7">
        <v>8108358108</v>
      </c>
      <c r="F5" s="3">
        <v>37135</v>
      </c>
      <c r="G5" s="2" t="s">
        <v>29</v>
      </c>
      <c r="H5" s="24">
        <v>342876</v>
      </c>
      <c r="I5" s="4">
        <v>2.5999999999999999E-2</v>
      </c>
      <c r="J5" s="5">
        <v>1</v>
      </c>
      <c r="K5" s="2">
        <v>12</v>
      </c>
      <c r="L5" s="24">
        <f t="shared" si="0"/>
        <v>28573</v>
      </c>
      <c r="M5" s="6" t="s">
        <v>18</v>
      </c>
      <c r="N5" s="6" t="s">
        <v>27</v>
      </c>
      <c r="O5" s="24">
        <f t="shared" si="1"/>
        <v>351790.77600000001</v>
      </c>
    </row>
    <row r="6" spans="1:15" x14ac:dyDescent="0.35">
      <c r="A6" s="2">
        <v>5</v>
      </c>
      <c r="B6" s="2" t="s">
        <v>30</v>
      </c>
      <c r="C6" s="2">
        <v>7689241609</v>
      </c>
      <c r="D6" s="2" t="s">
        <v>16</v>
      </c>
      <c r="E6" s="7">
        <v>8033746303</v>
      </c>
      <c r="F6" s="3" t="s">
        <v>31</v>
      </c>
      <c r="G6" s="2" t="s">
        <v>32</v>
      </c>
      <c r="H6" s="24">
        <v>453900</v>
      </c>
      <c r="I6" s="4">
        <v>3.2000000000000001E-2</v>
      </c>
      <c r="J6" s="5">
        <v>3</v>
      </c>
      <c r="K6" s="2">
        <v>36</v>
      </c>
      <c r="L6" s="24">
        <f t="shared" si="0"/>
        <v>12608.333333333334</v>
      </c>
      <c r="M6" s="6" t="s">
        <v>26</v>
      </c>
      <c r="N6" s="6" t="s">
        <v>22</v>
      </c>
      <c r="O6" s="24">
        <f t="shared" si="1"/>
        <v>468424.8</v>
      </c>
    </row>
    <row r="7" spans="1:15" x14ac:dyDescent="0.35">
      <c r="A7" s="2">
        <v>6</v>
      </c>
      <c r="B7" s="2" t="s">
        <v>33</v>
      </c>
      <c r="C7" s="2">
        <v>9045768923</v>
      </c>
      <c r="D7" s="2" t="s">
        <v>16</v>
      </c>
      <c r="E7" s="7">
        <v>7018269830</v>
      </c>
      <c r="F7" s="3" t="s">
        <v>34</v>
      </c>
      <c r="G7" s="2" t="s">
        <v>35</v>
      </c>
      <c r="H7" s="24">
        <v>897400</v>
      </c>
      <c r="I7" s="4">
        <v>0.05</v>
      </c>
      <c r="J7" s="5">
        <v>4</v>
      </c>
      <c r="K7" s="2">
        <v>48</v>
      </c>
      <c r="L7" s="24">
        <f t="shared" si="0"/>
        <v>18695.833333333332</v>
      </c>
      <c r="M7" s="6" t="s">
        <v>36</v>
      </c>
      <c r="N7" s="6" t="s">
        <v>19</v>
      </c>
      <c r="O7" s="24">
        <f t="shared" si="1"/>
        <v>942270</v>
      </c>
    </row>
    <row r="8" spans="1:15" x14ac:dyDescent="0.35">
      <c r="A8" s="2">
        <v>7</v>
      </c>
      <c r="B8" s="2" t="s">
        <v>37</v>
      </c>
      <c r="C8" s="2">
        <v>4523980712</v>
      </c>
      <c r="D8" s="2" t="s">
        <v>16</v>
      </c>
      <c r="E8" s="7">
        <v>8129944718</v>
      </c>
      <c r="F8" s="3">
        <v>36256</v>
      </c>
      <c r="G8" s="2" t="s">
        <v>38</v>
      </c>
      <c r="H8" s="24">
        <v>826966.933333333</v>
      </c>
      <c r="I8" s="4">
        <v>4.2999999999999997E-2</v>
      </c>
      <c r="J8" s="5">
        <v>2</v>
      </c>
      <c r="K8" s="2">
        <v>24</v>
      </c>
      <c r="L8" s="24">
        <f t="shared" si="0"/>
        <v>34456.955555555542</v>
      </c>
      <c r="M8" s="6" t="s">
        <v>36</v>
      </c>
      <c r="N8" s="6" t="s">
        <v>18</v>
      </c>
      <c r="O8" s="24">
        <f t="shared" si="1"/>
        <v>862526.51146666636</v>
      </c>
    </row>
    <row r="9" spans="1:15" x14ac:dyDescent="0.35">
      <c r="A9" s="2">
        <v>8</v>
      </c>
      <c r="B9" s="2" t="s">
        <v>39</v>
      </c>
      <c r="C9" s="2">
        <v>3425879013</v>
      </c>
      <c r="D9" s="2" t="s">
        <v>24</v>
      </c>
      <c r="E9" s="7">
        <v>9122703004</v>
      </c>
      <c r="F9" s="3" t="s">
        <v>40</v>
      </c>
      <c r="G9" s="2" t="s">
        <v>17</v>
      </c>
      <c r="H9" s="24">
        <v>927620.53333333298</v>
      </c>
      <c r="I9" s="4">
        <v>0.06</v>
      </c>
      <c r="J9" s="5">
        <v>3</v>
      </c>
      <c r="K9" s="2">
        <v>36</v>
      </c>
      <c r="L9" s="24">
        <f t="shared" si="0"/>
        <v>25767.237037037026</v>
      </c>
      <c r="M9" s="6" t="s">
        <v>18</v>
      </c>
      <c r="N9" s="6" t="s">
        <v>22</v>
      </c>
      <c r="O9" s="24">
        <f t="shared" si="1"/>
        <v>983277.76533333294</v>
      </c>
    </row>
    <row r="10" spans="1:15" x14ac:dyDescent="0.35">
      <c r="A10" s="2">
        <v>9</v>
      </c>
      <c r="B10" s="2" t="s">
        <v>41</v>
      </c>
      <c r="C10" s="2">
        <v>9805656337</v>
      </c>
      <c r="D10" s="2" t="s">
        <v>16</v>
      </c>
      <c r="E10" s="7">
        <v>7065459945</v>
      </c>
      <c r="F10" s="3" t="s">
        <v>42</v>
      </c>
      <c r="G10" s="2" t="s">
        <v>21</v>
      </c>
      <c r="H10" s="24">
        <v>188274.13333300001</v>
      </c>
      <c r="I10" s="4">
        <v>5.60357142857143E-2</v>
      </c>
      <c r="J10" s="5">
        <v>4</v>
      </c>
      <c r="K10" s="2">
        <v>48</v>
      </c>
      <c r="L10" s="24">
        <f t="shared" si="0"/>
        <v>3922.3777777708333</v>
      </c>
      <c r="M10" s="6" t="s">
        <v>36</v>
      </c>
      <c r="N10" s="6" t="s">
        <v>19</v>
      </c>
      <c r="O10" s="24">
        <f t="shared" si="1"/>
        <v>198824.20887583846</v>
      </c>
    </row>
    <row r="11" spans="1:15" x14ac:dyDescent="0.35">
      <c r="A11" s="2">
        <v>10</v>
      </c>
      <c r="B11" s="2" t="s">
        <v>43</v>
      </c>
      <c r="C11" s="2">
        <v>8976563434</v>
      </c>
      <c r="D11" s="2" t="s">
        <v>24</v>
      </c>
      <c r="E11" s="7">
        <v>8168701061</v>
      </c>
      <c r="F11" s="3">
        <v>36499</v>
      </c>
      <c r="G11" s="2" t="s">
        <v>25</v>
      </c>
      <c r="H11" s="24">
        <v>112892.73333333</v>
      </c>
      <c r="I11" s="4">
        <v>5.9404761904761898E-2</v>
      </c>
      <c r="J11" s="5">
        <v>2</v>
      </c>
      <c r="K11" s="2">
        <v>24</v>
      </c>
      <c r="L11" s="24">
        <f t="shared" si="0"/>
        <v>4703.8638888887499</v>
      </c>
      <c r="M11" s="6" t="s">
        <v>26</v>
      </c>
      <c r="N11" s="6" t="s">
        <v>27</v>
      </c>
      <c r="O11" s="24">
        <f t="shared" si="1"/>
        <v>119599.09927777425</v>
      </c>
    </row>
    <row r="12" spans="1:15" x14ac:dyDescent="0.35">
      <c r="A12" s="2">
        <v>11</v>
      </c>
      <c r="B12" s="2" t="s">
        <v>44</v>
      </c>
      <c r="C12" s="2">
        <v>9090653421</v>
      </c>
      <c r="D12" s="2" t="s">
        <v>16</v>
      </c>
      <c r="E12" s="7">
        <v>9025765424</v>
      </c>
      <c r="F12" s="3">
        <v>34461</v>
      </c>
      <c r="G12" s="2" t="s">
        <v>29</v>
      </c>
      <c r="H12" s="24">
        <v>122581.33333333</v>
      </c>
      <c r="I12" s="4">
        <v>6.2773809523809496E-2</v>
      </c>
      <c r="J12" s="5">
        <v>3</v>
      </c>
      <c r="K12" s="2">
        <v>36</v>
      </c>
      <c r="L12" s="24">
        <f t="shared" si="0"/>
        <v>3405.0370370369442</v>
      </c>
      <c r="M12" s="6" t="s">
        <v>45</v>
      </c>
      <c r="N12" s="6" t="s">
        <v>22</v>
      </c>
      <c r="O12" s="24">
        <f t="shared" si="1"/>
        <v>130276.23060317105</v>
      </c>
    </row>
    <row r="13" spans="1:15" x14ac:dyDescent="0.35">
      <c r="A13" s="2">
        <v>12</v>
      </c>
      <c r="B13" s="2" t="s">
        <v>46</v>
      </c>
      <c r="C13" s="2">
        <v>8732456578</v>
      </c>
      <c r="D13" s="2" t="s">
        <v>24</v>
      </c>
      <c r="E13" s="7">
        <v>8082283017</v>
      </c>
      <c r="F13" s="3" t="s">
        <v>47</v>
      </c>
      <c r="G13" s="2" t="s">
        <v>32</v>
      </c>
      <c r="H13" s="24">
        <v>133354.93333333</v>
      </c>
      <c r="I13" s="4">
        <v>6.61428571428571E-2</v>
      </c>
      <c r="J13" s="5">
        <v>2</v>
      </c>
      <c r="K13" s="2">
        <v>24</v>
      </c>
      <c r="L13" s="24">
        <f t="shared" si="0"/>
        <v>5556.455555555417</v>
      </c>
      <c r="M13" s="6" t="s">
        <v>18</v>
      </c>
      <c r="N13" s="6" t="s">
        <v>19</v>
      </c>
      <c r="O13" s="24">
        <f t="shared" si="1"/>
        <v>142175.40963809169</v>
      </c>
    </row>
    <row r="14" spans="1:15" x14ac:dyDescent="0.35">
      <c r="A14" s="2">
        <v>13</v>
      </c>
      <c r="B14" s="2" t="s">
        <v>48</v>
      </c>
      <c r="C14" s="2">
        <v>3425161962</v>
      </c>
      <c r="D14" s="2" t="s">
        <v>24</v>
      </c>
      <c r="E14" s="7">
        <v>7060868657</v>
      </c>
      <c r="F14" s="3">
        <v>34315</v>
      </c>
      <c r="G14" s="2" t="s">
        <v>35</v>
      </c>
      <c r="H14" s="24">
        <v>143088.53333333001</v>
      </c>
      <c r="I14" s="4">
        <v>6.9511904761904705E-2</v>
      </c>
      <c r="J14" s="5">
        <v>4</v>
      </c>
      <c r="K14" s="2">
        <v>48</v>
      </c>
      <c r="L14" s="24">
        <f t="shared" si="0"/>
        <v>2981.0111111110418</v>
      </c>
      <c r="M14" s="6" t="s">
        <v>45</v>
      </c>
      <c r="N14" s="6" t="s">
        <v>27</v>
      </c>
      <c r="O14" s="24">
        <f t="shared" si="1"/>
        <v>153034.88983491706</v>
      </c>
    </row>
    <row r="15" spans="1:15" x14ac:dyDescent="0.35">
      <c r="A15" s="2">
        <v>14</v>
      </c>
      <c r="B15" s="2" t="s">
        <v>49</v>
      </c>
      <c r="C15" s="2">
        <v>944677892</v>
      </c>
      <c r="D15" s="2" t="s">
        <v>24</v>
      </c>
      <c r="E15" s="7">
        <v>9074316757</v>
      </c>
      <c r="F15" s="3">
        <v>34459</v>
      </c>
      <c r="G15" s="2" t="s">
        <v>38</v>
      </c>
      <c r="H15" s="24">
        <v>153152.13333333001</v>
      </c>
      <c r="I15" s="4">
        <v>7.2880952380952393E-2</v>
      </c>
      <c r="J15" s="5">
        <v>4</v>
      </c>
      <c r="K15" s="2">
        <v>48</v>
      </c>
      <c r="L15" s="24">
        <f t="shared" si="0"/>
        <v>3190.6694444443751</v>
      </c>
      <c r="M15" s="6" t="s">
        <v>36</v>
      </c>
      <c r="N15" s="6" t="s">
        <v>19</v>
      </c>
      <c r="O15" s="24">
        <f t="shared" si="1"/>
        <v>164314.00666983772</v>
      </c>
    </row>
    <row r="16" spans="1:15" x14ac:dyDescent="0.35">
      <c r="A16" s="2">
        <v>15</v>
      </c>
      <c r="B16" s="2" t="s">
        <v>50</v>
      </c>
      <c r="C16" s="2">
        <v>3428971045</v>
      </c>
      <c r="D16" s="2" t="s">
        <v>24</v>
      </c>
      <c r="E16" s="7">
        <v>7032537163</v>
      </c>
      <c r="F16" s="3" t="s">
        <v>51</v>
      </c>
      <c r="G16" s="2" t="s">
        <v>17</v>
      </c>
      <c r="H16" s="24">
        <v>163195.73333332999</v>
      </c>
      <c r="I16" s="4">
        <v>7.6249999999999998E-2</v>
      </c>
      <c r="J16" s="5">
        <v>3</v>
      </c>
      <c r="K16" s="2">
        <v>36</v>
      </c>
      <c r="L16" s="24">
        <f t="shared" si="0"/>
        <v>4533.2148148147216</v>
      </c>
      <c r="M16" s="6" t="s">
        <v>18</v>
      </c>
      <c r="N16" s="6" t="s">
        <v>22</v>
      </c>
      <c r="O16" s="24">
        <f t="shared" si="1"/>
        <v>175639.40799999639</v>
      </c>
    </row>
    <row r="17" spans="1:15" x14ac:dyDescent="0.35">
      <c r="A17" s="2">
        <v>16</v>
      </c>
      <c r="B17" s="2" t="s">
        <v>52</v>
      </c>
      <c r="C17" s="2">
        <v>9805656337</v>
      </c>
      <c r="D17" s="2" t="s">
        <v>16</v>
      </c>
      <c r="E17" s="7">
        <v>9049488198</v>
      </c>
      <c r="F17" s="3">
        <v>36256</v>
      </c>
      <c r="G17" s="2" t="s">
        <v>21</v>
      </c>
      <c r="H17" s="24">
        <v>173289.33333333</v>
      </c>
      <c r="I17" s="4">
        <v>7.9619047619047603E-2</v>
      </c>
      <c r="J17" s="5">
        <v>2</v>
      </c>
      <c r="K17" s="2">
        <v>24</v>
      </c>
      <c r="L17" s="24">
        <f t="shared" si="0"/>
        <v>7220.3888888887495</v>
      </c>
      <c r="M17" s="6" t="s">
        <v>26</v>
      </c>
      <c r="N17" s="6" t="s">
        <v>27</v>
      </c>
      <c r="O17" s="24">
        <f t="shared" si="1"/>
        <v>187086.46501586941</v>
      </c>
    </row>
    <row r="18" spans="1:15" x14ac:dyDescent="0.35">
      <c r="A18" s="2">
        <v>17</v>
      </c>
      <c r="B18" s="2" t="s">
        <v>53</v>
      </c>
      <c r="C18" s="2">
        <v>8976563434</v>
      </c>
      <c r="D18" s="2" t="s">
        <v>16</v>
      </c>
      <c r="E18" s="7">
        <v>8123235251</v>
      </c>
      <c r="F18" s="3">
        <v>35968</v>
      </c>
      <c r="G18" s="2" t="s">
        <v>25</v>
      </c>
      <c r="H18" s="24">
        <v>183350.93333333</v>
      </c>
      <c r="I18" s="4">
        <v>8.2988095238095194E-2</v>
      </c>
      <c r="J18" s="5">
        <v>2</v>
      </c>
      <c r="K18" s="2">
        <v>24</v>
      </c>
      <c r="L18" s="24">
        <f t="shared" si="0"/>
        <v>7639.6222222220831</v>
      </c>
      <c r="M18" s="6" t="s">
        <v>36</v>
      </c>
      <c r="N18" s="6" t="s">
        <v>18</v>
      </c>
      <c r="O18" s="24">
        <f t="shared" si="1"/>
        <v>198566.87805079002</v>
      </c>
    </row>
    <row r="19" spans="1:15" x14ac:dyDescent="0.35">
      <c r="A19" s="2">
        <v>18</v>
      </c>
      <c r="B19" s="2" t="s">
        <v>54</v>
      </c>
      <c r="C19" s="2">
        <v>9090653421</v>
      </c>
      <c r="D19" s="2" t="s">
        <v>16</v>
      </c>
      <c r="E19" s="7">
        <v>9016747455</v>
      </c>
      <c r="F19" s="3">
        <v>34142</v>
      </c>
      <c r="G19" s="2" t="s">
        <v>29</v>
      </c>
      <c r="H19" s="24">
        <v>193416.53333333001</v>
      </c>
      <c r="I19" s="4">
        <v>8.6357142857142799E-2</v>
      </c>
      <c r="J19" s="5">
        <v>5</v>
      </c>
      <c r="K19" s="2">
        <v>60</v>
      </c>
      <c r="L19" s="24">
        <f t="shared" si="0"/>
        <v>3223.6088888888335</v>
      </c>
      <c r="M19" s="6" t="s">
        <v>36</v>
      </c>
      <c r="N19" s="6" t="s">
        <v>22</v>
      </c>
      <c r="O19" s="24">
        <f t="shared" si="1"/>
        <v>210119.4325333297</v>
      </c>
    </row>
    <row r="20" spans="1:15" x14ac:dyDescent="0.35">
      <c r="A20" s="2">
        <v>19</v>
      </c>
      <c r="B20" s="2" t="s">
        <v>55</v>
      </c>
      <c r="C20" s="2">
        <v>8732456578</v>
      </c>
      <c r="D20" s="2" t="s">
        <v>16</v>
      </c>
      <c r="E20" s="7">
        <v>9160841618</v>
      </c>
      <c r="F20" s="3">
        <v>34956</v>
      </c>
      <c r="G20" s="2" t="s">
        <v>32</v>
      </c>
      <c r="H20" s="24">
        <v>203480.13333333001</v>
      </c>
      <c r="I20" s="4">
        <v>8.9726190476190404E-2</v>
      </c>
      <c r="J20" s="5">
        <v>4</v>
      </c>
      <c r="K20" s="2">
        <v>48</v>
      </c>
      <c r="L20" s="24">
        <f t="shared" si="0"/>
        <v>4239.1694444443756</v>
      </c>
      <c r="M20" s="6" t="s">
        <v>26</v>
      </c>
      <c r="N20" s="6" t="s">
        <v>22</v>
      </c>
      <c r="O20" s="24">
        <f t="shared" si="1"/>
        <v>221737.630534917</v>
      </c>
    </row>
    <row r="21" spans="1:15" x14ac:dyDescent="0.35">
      <c r="A21" s="2">
        <v>20</v>
      </c>
      <c r="B21" s="2" t="s">
        <v>56</v>
      </c>
      <c r="C21" s="2">
        <v>3425161962</v>
      </c>
      <c r="D21" s="2" t="s">
        <v>24</v>
      </c>
      <c r="E21" s="7">
        <v>9019883235</v>
      </c>
      <c r="F21" s="3">
        <v>35676</v>
      </c>
      <c r="G21" s="2" t="s">
        <v>35</v>
      </c>
      <c r="H21" s="24">
        <v>213546.73333332999</v>
      </c>
      <c r="I21" s="4">
        <v>9.3095238095238106E-2</v>
      </c>
      <c r="J21" s="5">
        <v>3</v>
      </c>
      <c r="K21" s="2">
        <v>36</v>
      </c>
      <c r="L21" s="24">
        <f t="shared" si="0"/>
        <v>5931.8537037036112</v>
      </c>
      <c r="M21" s="6" t="s">
        <v>45</v>
      </c>
      <c r="N21" s="6" t="s">
        <v>18</v>
      </c>
      <c r="O21" s="24">
        <f t="shared" si="1"/>
        <v>233426.91731745665</v>
      </c>
    </row>
    <row r="22" spans="1:15" x14ac:dyDescent="0.35">
      <c r="A22" s="2">
        <v>21</v>
      </c>
      <c r="B22" s="2" t="s">
        <v>57</v>
      </c>
      <c r="C22" s="2">
        <v>944677892</v>
      </c>
      <c r="D22" s="2" t="s">
        <v>24</v>
      </c>
      <c r="E22" s="7">
        <v>9039938885</v>
      </c>
      <c r="F22" s="3">
        <v>33712</v>
      </c>
      <c r="G22" s="2" t="s">
        <v>38</v>
      </c>
      <c r="H22" s="24">
        <v>223617.33333333</v>
      </c>
      <c r="I22" s="4">
        <v>9.6464285714285697E-2</v>
      </c>
      <c r="J22" s="5">
        <v>2</v>
      </c>
      <c r="K22" s="2">
        <v>24</v>
      </c>
      <c r="L22" s="24">
        <f t="shared" si="0"/>
        <v>9317.3888888887504</v>
      </c>
      <c r="M22" s="6" t="s">
        <v>18</v>
      </c>
      <c r="N22" s="6" t="s">
        <v>19</v>
      </c>
      <c r="O22" s="24">
        <f t="shared" si="1"/>
        <v>245188.41966666302</v>
      </c>
    </row>
    <row r="23" spans="1:15" x14ac:dyDescent="0.35">
      <c r="A23" s="2">
        <v>22</v>
      </c>
      <c r="B23" s="2" t="s">
        <v>58</v>
      </c>
      <c r="C23" s="2">
        <v>3428971045</v>
      </c>
      <c r="D23" s="2" t="s">
        <v>24</v>
      </c>
      <c r="E23" s="7">
        <v>8142054307</v>
      </c>
      <c r="F23" s="3">
        <v>35217</v>
      </c>
      <c r="G23" s="2" t="s">
        <v>17</v>
      </c>
      <c r="H23" s="24">
        <v>236770.93333333</v>
      </c>
      <c r="I23" s="4">
        <v>9.9833333333333302E-2</v>
      </c>
      <c r="J23" s="5">
        <v>4</v>
      </c>
      <c r="K23" s="2">
        <v>48</v>
      </c>
      <c r="L23" s="24">
        <f t="shared" si="0"/>
        <v>4932.7277777777081</v>
      </c>
      <c r="M23" s="6" t="s">
        <v>36</v>
      </c>
      <c r="N23" s="6" t="s">
        <v>22</v>
      </c>
      <c r="O23" s="24">
        <f t="shared" si="1"/>
        <v>260408.56484444079</v>
      </c>
    </row>
  </sheetData>
  <sheetProtection algorithmName="SHA-512" hashValue="8o0wEawhZuBxNYnnhCyc3ZH72wDujC0MzI2B9swn3SC+Hj5B0knjEZmVJ4phGeHiUwqHs/+9agOvxkuGE8pXiA==" saltValue="jE/W6b+IPpiXM0rSTILeU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3A80-03BA-4E3E-ABA7-748059FF6C44}">
  <dimension ref="A1:H50"/>
  <sheetViews>
    <sheetView workbookViewId="0">
      <selection activeCell="C11" sqref="C11"/>
    </sheetView>
  </sheetViews>
  <sheetFormatPr defaultRowHeight="14.5" x14ac:dyDescent="0.35"/>
  <cols>
    <col min="1" max="1" width="18.1796875" bestFit="1" customWidth="1"/>
    <col min="2" max="2" width="24.54296875" bestFit="1" customWidth="1"/>
    <col min="3" max="3" width="10.1796875" bestFit="1" customWidth="1"/>
    <col min="6" max="6" width="19.54296875" bestFit="1" customWidth="1"/>
    <col min="7" max="7" width="17.54296875" bestFit="1" customWidth="1"/>
  </cols>
  <sheetData>
    <row r="1" spans="1:8" x14ac:dyDescent="0.35">
      <c r="A1" s="21" t="s">
        <v>59</v>
      </c>
      <c r="B1" s="21" t="s">
        <v>74</v>
      </c>
      <c r="C1" s="21" t="s">
        <v>75</v>
      </c>
      <c r="F1" s="21" t="s">
        <v>76</v>
      </c>
      <c r="G1" s="21" t="s">
        <v>71</v>
      </c>
      <c r="H1" s="21"/>
    </row>
    <row r="2" spans="1:8" x14ac:dyDescent="0.35">
      <c r="A2" t="s">
        <v>15</v>
      </c>
      <c r="B2" s="22">
        <v>45028</v>
      </c>
      <c r="C2" s="25">
        <v>17955.555555555555</v>
      </c>
      <c r="F2" t="str" cm="1">
        <f t="array" ref="F2:F50">IF(Data!B2:B50="","",Data!B2:B50)</f>
        <v>Emmanuel peter</v>
      </c>
      <c r="G2" s="25">
        <f>SUMIF($A$2:$A$50,F2,$C$2:$C$50)</f>
        <v>35911.111111111109</v>
      </c>
    </row>
    <row r="3" spans="1:8" x14ac:dyDescent="0.35">
      <c r="A3" t="s">
        <v>23</v>
      </c>
      <c r="B3" s="22"/>
      <c r="C3" s="25"/>
      <c r="F3" t="str">
        <v>Calistus Ikechukwu</v>
      </c>
      <c r="G3" s="23"/>
    </row>
    <row r="4" spans="1:8" x14ac:dyDescent="0.35">
      <c r="A4" t="s">
        <v>15</v>
      </c>
      <c r="B4" s="22">
        <v>45058</v>
      </c>
      <c r="C4" s="25">
        <v>17955.555555555555</v>
      </c>
      <c r="F4" t="str">
        <v>James mary</v>
      </c>
      <c r="G4" s="23"/>
    </row>
    <row r="5" spans="1:8" x14ac:dyDescent="0.35">
      <c r="A5" t="s">
        <v>37</v>
      </c>
      <c r="B5" s="22"/>
      <c r="C5" s="23"/>
      <c r="F5" t="str">
        <v>Joseph Serah</v>
      </c>
      <c r="G5" s="23"/>
    </row>
    <row r="6" spans="1:8" x14ac:dyDescent="0.35">
      <c r="B6" s="22"/>
      <c r="C6" s="23"/>
      <c r="F6" t="str">
        <v>Thamos Benard</v>
      </c>
      <c r="G6" s="23"/>
    </row>
    <row r="7" spans="1:8" x14ac:dyDescent="0.35">
      <c r="B7" s="22"/>
      <c r="C7" s="23"/>
      <c r="F7" t="str">
        <v>Onovo Martins</v>
      </c>
      <c r="G7" s="23"/>
    </row>
    <row r="8" spans="1:8" x14ac:dyDescent="0.35">
      <c r="B8" s="22"/>
      <c r="C8" s="23"/>
      <c r="F8" t="str">
        <v>Eze Ikechukwu</v>
      </c>
      <c r="G8" s="23"/>
    </row>
    <row r="9" spans="1:8" x14ac:dyDescent="0.35">
      <c r="B9" s="22"/>
      <c r="C9" s="23"/>
      <c r="F9" t="str">
        <v>Jeremiah Justina</v>
      </c>
      <c r="G9" s="23"/>
    </row>
    <row r="10" spans="1:8" x14ac:dyDescent="0.35">
      <c r="B10" s="22"/>
      <c r="C10" s="23"/>
      <c r="F10" t="str">
        <v>Ibrahim Azeez</v>
      </c>
      <c r="G10" s="23"/>
    </row>
    <row r="11" spans="1:8" x14ac:dyDescent="0.35">
      <c r="B11" s="22"/>
      <c r="C11" s="23"/>
      <c r="F11" t="str">
        <v>Matthew Syvia</v>
      </c>
      <c r="G11" s="23"/>
    </row>
    <row r="12" spans="1:8" x14ac:dyDescent="0.35">
      <c r="B12" s="22"/>
      <c r="C12" s="23"/>
      <c r="F12" t="str">
        <v>Samson Adekola</v>
      </c>
      <c r="G12" s="23"/>
    </row>
    <row r="13" spans="1:8" x14ac:dyDescent="0.35">
      <c r="B13" s="22"/>
      <c r="C13" s="23"/>
      <c r="F13" t="str">
        <v>Ude Peace</v>
      </c>
      <c r="G13" s="23"/>
    </row>
    <row r="14" spans="1:8" x14ac:dyDescent="0.35">
      <c r="B14" s="22"/>
      <c r="C14" s="23"/>
      <c r="F14" t="str">
        <v>Okiri Anne</v>
      </c>
      <c r="G14" s="23"/>
    </row>
    <row r="15" spans="1:8" x14ac:dyDescent="0.35">
      <c r="B15" s="22"/>
      <c r="C15" s="23"/>
      <c r="F15" t="str">
        <v>Ezeokeke chinaza</v>
      </c>
      <c r="G15" s="23"/>
    </row>
    <row r="16" spans="1:8" x14ac:dyDescent="0.35">
      <c r="B16" s="22"/>
      <c r="C16" s="23"/>
      <c r="F16" t="str">
        <v>Kachi Confidence</v>
      </c>
      <c r="G16" s="23"/>
    </row>
    <row r="17" spans="2:7" x14ac:dyDescent="0.35">
      <c r="B17" s="22"/>
      <c r="C17" s="23"/>
      <c r="F17" t="str">
        <v>Abdul Azeez</v>
      </c>
      <c r="G17" s="23"/>
    </row>
    <row r="18" spans="2:7" x14ac:dyDescent="0.35">
      <c r="B18" s="22"/>
      <c r="C18" s="23"/>
      <c r="F18" t="str">
        <v>Matthew Francis</v>
      </c>
      <c r="G18" s="23"/>
    </row>
    <row r="19" spans="2:7" x14ac:dyDescent="0.35">
      <c r="B19" s="22"/>
      <c r="C19" s="23"/>
      <c r="F19" t="str">
        <v>Samuel Adewale</v>
      </c>
      <c r="G19" s="23"/>
    </row>
    <row r="20" spans="2:7" x14ac:dyDescent="0.35">
      <c r="B20" s="22"/>
      <c r="C20" s="23"/>
      <c r="F20" t="str">
        <v>Wale Sunday</v>
      </c>
      <c r="G20" s="23"/>
    </row>
    <row r="21" spans="2:7" x14ac:dyDescent="0.35">
      <c r="B21" s="22"/>
      <c r="C21" s="23"/>
      <c r="F21" t="str">
        <v>Ugonna Anne</v>
      </c>
      <c r="G21" s="23"/>
    </row>
    <row r="22" spans="2:7" x14ac:dyDescent="0.35">
      <c r="B22" s="22"/>
      <c r="C22" s="23"/>
      <c r="F22" t="str">
        <v>Eze chinaza</v>
      </c>
      <c r="G22" s="23"/>
    </row>
    <row r="23" spans="2:7" x14ac:dyDescent="0.35">
      <c r="B23" s="22"/>
      <c r="C23" s="23"/>
      <c r="F23" t="str">
        <v>Onuorah Confidence</v>
      </c>
      <c r="G23" s="23"/>
    </row>
    <row r="24" spans="2:7" x14ac:dyDescent="0.35">
      <c r="B24" s="22"/>
      <c r="C24" s="23"/>
      <c r="F24" t="str">
        <v/>
      </c>
      <c r="G24" s="23"/>
    </row>
    <row r="25" spans="2:7" x14ac:dyDescent="0.35">
      <c r="B25" s="22"/>
      <c r="C25" s="23"/>
      <c r="F25" t="str">
        <v/>
      </c>
      <c r="G25" s="23"/>
    </row>
    <row r="26" spans="2:7" x14ac:dyDescent="0.35">
      <c r="B26" s="22"/>
      <c r="C26" s="23"/>
      <c r="F26" t="str">
        <v/>
      </c>
      <c r="G26" s="23"/>
    </row>
    <row r="27" spans="2:7" x14ac:dyDescent="0.35">
      <c r="B27" s="22"/>
      <c r="C27" s="23"/>
      <c r="F27" t="str">
        <v/>
      </c>
      <c r="G27" s="23"/>
    </row>
    <row r="28" spans="2:7" x14ac:dyDescent="0.35">
      <c r="B28" s="22"/>
      <c r="C28" s="23"/>
      <c r="F28" t="str">
        <v/>
      </c>
      <c r="G28" s="23"/>
    </row>
    <row r="29" spans="2:7" x14ac:dyDescent="0.35">
      <c r="B29" s="22"/>
      <c r="C29" s="23"/>
      <c r="F29" t="str">
        <v/>
      </c>
      <c r="G29" s="23"/>
    </row>
    <row r="30" spans="2:7" x14ac:dyDescent="0.35">
      <c r="B30" s="22"/>
      <c r="C30" s="23"/>
      <c r="F30" t="str">
        <v/>
      </c>
      <c r="G30" s="23"/>
    </row>
    <row r="31" spans="2:7" x14ac:dyDescent="0.35">
      <c r="B31" s="22"/>
      <c r="C31" s="23"/>
      <c r="F31" t="str">
        <v/>
      </c>
      <c r="G31" s="23"/>
    </row>
    <row r="32" spans="2:7" x14ac:dyDescent="0.35">
      <c r="B32" s="22"/>
      <c r="C32" s="23"/>
      <c r="F32" t="str">
        <v/>
      </c>
      <c r="G32" s="23"/>
    </row>
    <row r="33" spans="2:7" x14ac:dyDescent="0.35">
      <c r="B33" s="22"/>
      <c r="C33" s="23"/>
      <c r="F33" t="str">
        <v/>
      </c>
      <c r="G33" s="23"/>
    </row>
    <row r="34" spans="2:7" x14ac:dyDescent="0.35">
      <c r="B34" s="22"/>
      <c r="C34" s="23"/>
      <c r="F34" t="str">
        <v/>
      </c>
      <c r="G34" s="23"/>
    </row>
    <row r="35" spans="2:7" x14ac:dyDescent="0.35">
      <c r="B35" s="22"/>
      <c r="C35" s="23"/>
      <c r="F35" t="str">
        <v/>
      </c>
      <c r="G35" s="23"/>
    </row>
    <row r="36" spans="2:7" x14ac:dyDescent="0.35">
      <c r="B36" s="22"/>
      <c r="C36" s="23"/>
      <c r="F36" t="str">
        <v/>
      </c>
      <c r="G36" s="23"/>
    </row>
    <row r="37" spans="2:7" x14ac:dyDescent="0.35">
      <c r="B37" s="22"/>
      <c r="C37" s="23"/>
      <c r="F37" t="str">
        <v/>
      </c>
      <c r="G37" s="23"/>
    </row>
    <row r="38" spans="2:7" x14ac:dyDescent="0.35">
      <c r="B38" s="22"/>
      <c r="C38" s="23"/>
      <c r="F38" t="str">
        <v/>
      </c>
      <c r="G38" s="23"/>
    </row>
    <row r="39" spans="2:7" x14ac:dyDescent="0.35">
      <c r="B39" s="22"/>
      <c r="C39" s="23"/>
      <c r="F39" t="str">
        <v/>
      </c>
      <c r="G39" s="23"/>
    </row>
    <row r="40" spans="2:7" x14ac:dyDescent="0.35">
      <c r="B40" s="22"/>
      <c r="C40" s="23"/>
      <c r="F40" t="str">
        <v/>
      </c>
      <c r="G40" s="23"/>
    </row>
    <row r="41" spans="2:7" x14ac:dyDescent="0.35">
      <c r="B41" s="22"/>
      <c r="C41" s="23"/>
      <c r="F41" t="str">
        <v/>
      </c>
      <c r="G41" s="23"/>
    </row>
    <row r="42" spans="2:7" x14ac:dyDescent="0.35">
      <c r="B42" s="22"/>
      <c r="C42" s="23"/>
      <c r="F42" t="str">
        <v/>
      </c>
      <c r="G42" s="23"/>
    </row>
    <row r="43" spans="2:7" x14ac:dyDescent="0.35">
      <c r="B43" s="22"/>
      <c r="C43" s="23"/>
      <c r="F43" t="str">
        <v/>
      </c>
      <c r="G43" s="23"/>
    </row>
    <row r="44" spans="2:7" x14ac:dyDescent="0.35">
      <c r="B44" s="22"/>
      <c r="C44" s="23"/>
      <c r="F44" t="str">
        <v/>
      </c>
      <c r="G44" s="23"/>
    </row>
    <row r="45" spans="2:7" x14ac:dyDescent="0.35">
      <c r="B45" s="22"/>
      <c r="C45" s="23"/>
      <c r="F45" t="str">
        <v/>
      </c>
      <c r="G45" s="23"/>
    </row>
    <row r="46" spans="2:7" x14ac:dyDescent="0.35">
      <c r="B46" s="22"/>
      <c r="C46" s="23"/>
      <c r="F46" t="str">
        <v/>
      </c>
      <c r="G46" s="23"/>
    </row>
    <row r="47" spans="2:7" x14ac:dyDescent="0.35">
      <c r="B47" s="22"/>
      <c r="C47" s="23"/>
      <c r="F47" t="str">
        <v/>
      </c>
      <c r="G47" s="23"/>
    </row>
    <row r="48" spans="2:7" x14ac:dyDescent="0.35">
      <c r="B48" s="22"/>
      <c r="C48" s="23"/>
      <c r="F48" t="str">
        <v/>
      </c>
      <c r="G48" s="23"/>
    </row>
    <row r="49" spans="2:7" x14ac:dyDescent="0.35">
      <c r="B49" s="22"/>
      <c r="C49" s="23"/>
      <c r="F49" t="str">
        <v/>
      </c>
      <c r="G49" s="23"/>
    </row>
    <row r="50" spans="2:7" x14ac:dyDescent="0.35">
      <c r="B50" s="22"/>
      <c r="C50" s="23"/>
      <c r="F50" t="str">
        <v/>
      </c>
      <c r="G50" s="23"/>
    </row>
  </sheetData>
  <sheetProtection algorithmName="SHA-512" hashValue="RgQPapUMnbd6NktanyeVmeqqaJLtlamh7wpHpBiIch92p1z5BksbhfPZxvH0Q12ffJV1NK2PBdinzX7qXBZ34A==" saltValue="ORFJJhDHMVkuOWJkZWtB2g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B8DAA1-64A3-49A3-94E7-4E921C7926BA}">
          <x14:formula1>
            <xm:f>Data!$B$2:$B$50</xm:f>
          </x14:formula1>
          <xm:sqref>A2:A50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53EF-A1BC-4B0E-8F5C-1E5086ADA399}">
  <dimension ref="A5:I19"/>
  <sheetViews>
    <sheetView tabSelected="1" topLeftCell="B1" workbookViewId="0">
      <selection activeCell="B14" sqref="B14"/>
    </sheetView>
  </sheetViews>
  <sheetFormatPr defaultColWidth="9.1796875" defaultRowHeight="14.5" x14ac:dyDescent="0.35"/>
  <cols>
    <col min="1" max="1" width="17.1796875" style="8" customWidth="1"/>
    <col min="2" max="2" width="31.453125" style="8" customWidth="1"/>
    <col min="3" max="3" width="17" style="8" bestFit="1" customWidth="1"/>
    <col min="4" max="4" width="21.7265625" style="8" bestFit="1" customWidth="1"/>
    <col min="5" max="5" width="20.7265625" style="8" customWidth="1"/>
    <col min="6" max="6" width="9.1796875" style="8"/>
    <col min="7" max="7" width="18.7265625" style="8" bestFit="1" customWidth="1"/>
    <col min="8" max="8" width="13.453125" style="8" bestFit="1" customWidth="1"/>
    <col min="9" max="9" width="18.54296875" style="8" bestFit="1" customWidth="1"/>
    <col min="10" max="16384" width="9.1796875" style="8"/>
  </cols>
  <sheetData>
    <row r="5" spans="1:9" ht="18" customHeight="1" x14ac:dyDescent="0.35">
      <c r="A5" s="11" t="s">
        <v>59</v>
      </c>
      <c r="B5" s="36" t="s">
        <v>44</v>
      </c>
      <c r="C5" s="12" t="s">
        <v>5</v>
      </c>
      <c r="D5" s="16" t="s">
        <v>60</v>
      </c>
      <c r="E5" s="16" t="s">
        <v>4</v>
      </c>
      <c r="G5" s="12" t="s">
        <v>61</v>
      </c>
      <c r="I5" s="12" t="s">
        <v>62</v>
      </c>
    </row>
    <row r="6" spans="1:9" ht="15" customHeight="1" x14ac:dyDescent="0.35">
      <c r="A6" s="9"/>
      <c r="B6" s="10"/>
      <c r="C6" s="32">
        <f>VLOOKUP(B5,Data!B2:O50,5,FALSE)</f>
        <v>34461</v>
      </c>
      <c r="D6" s="26" t="str">
        <f>VLOOKUP(B5,Data!B2:O50,3,FALSE)</f>
        <v>Male</v>
      </c>
      <c r="E6" s="29">
        <f>VLOOKUP(B5,Data!B2:O50,4,FALSE)</f>
        <v>9025765424</v>
      </c>
      <c r="F6" s="10"/>
      <c r="G6" s="27">
        <f>VLOOKUP(B5,Data!B2:O50,11,FALSE)</f>
        <v>3405.0370370369442</v>
      </c>
      <c r="H6" s="10"/>
      <c r="I6" s="33">
        <f>G10-G14</f>
        <v>130276.23060317105</v>
      </c>
    </row>
    <row r="7" spans="1:9" x14ac:dyDescent="0.35">
      <c r="B7" s="10"/>
      <c r="C7" s="32"/>
      <c r="D7" s="26"/>
      <c r="E7" s="29"/>
      <c r="F7" s="10"/>
      <c r="G7" s="27"/>
      <c r="H7" s="10"/>
      <c r="I7" s="33"/>
    </row>
    <row r="9" spans="1:9" x14ac:dyDescent="0.35">
      <c r="C9" s="12" t="s">
        <v>63</v>
      </c>
      <c r="D9" s="17" t="s">
        <v>64</v>
      </c>
      <c r="E9" s="16" t="s">
        <v>65</v>
      </c>
      <c r="G9" s="12" t="s">
        <v>66</v>
      </c>
      <c r="I9" s="13" t="s">
        <v>67</v>
      </c>
    </row>
    <row r="10" spans="1:9" x14ac:dyDescent="0.35">
      <c r="B10" s="10"/>
      <c r="C10" s="34">
        <f>VLOOKUP(B5,Data!B2:O50,2,FALSE)</f>
        <v>9090653421</v>
      </c>
      <c r="D10" s="26" t="str">
        <f>VLOOKUP(B5,Data!B2:O50,6,FALSE)</f>
        <v>Fidelity</v>
      </c>
      <c r="E10" s="35">
        <f>VLOOKUP(B5,Data!B2:O50,7,FALSE)</f>
        <v>122581.33333333</v>
      </c>
      <c r="F10" s="10"/>
      <c r="G10" s="33">
        <f>VLOOKUP(B5,Data!B2:O50,14,FALSE)</f>
        <v>130276.23060317105</v>
      </c>
      <c r="H10" s="10"/>
      <c r="I10" s="26" t="str">
        <f>VLOOKUP(B5,Data!B2:O50,12,FALSE)</f>
        <v>20/03/2018</v>
      </c>
    </row>
    <row r="11" spans="1:9" x14ac:dyDescent="0.35">
      <c r="B11" s="10"/>
      <c r="C11" s="34"/>
      <c r="D11" s="26"/>
      <c r="E11" s="35"/>
      <c r="F11" s="10"/>
      <c r="G11" s="33"/>
      <c r="H11" s="10"/>
      <c r="I11" s="26"/>
    </row>
    <row r="13" spans="1:9" x14ac:dyDescent="0.35">
      <c r="C13" s="14" t="s">
        <v>68</v>
      </c>
      <c r="D13" s="18" t="s">
        <v>69</v>
      </c>
      <c r="E13" s="18" t="s">
        <v>70</v>
      </c>
      <c r="F13" s="15"/>
      <c r="G13" s="14" t="s">
        <v>71</v>
      </c>
      <c r="H13" s="15"/>
      <c r="I13" s="14" t="s">
        <v>72</v>
      </c>
    </row>
    <row r="14" spans="1:9" x14ac:dyDescent="0.35">
      <c r="C14" s="30">
        <f>VLOOKUP(B5,Data!B2:O50,8,FALSE)</f>
        <v>6.2773809523809496E-2</v>
      </c>
      <c r="D14" s="31">
        <f>VLOOKUP(B5,Data!B2:O50,9,FALSE)</f>
        <v>3</v>
      </c>
      <c r="E14" s="29">
        <f>VLOOKUP(B5,Data!B2:O50,10,FALSE)</f>
        <v>36</v>
      </c>
      <c r="F14" s="10"/>
      <c r="G14" s="27">
        <f>VLOOKUP(B5,'Payment structure'!F2:G50,2,FALSE)</f>
        <v>0</v>
      </c>
      <c r="H14" s="10"/>
      <c r="I14" s="26" t="str">
        <f>VLOOKUP(B5,Data!B2:O50,13,FALSE)</f>
        <v>20/03/2024</v>
      </c>
    </row>
    <row r="15" spans="1:9" x14ac:dyDescent="0.35">
      <c r="C15" s="30"/>
      <c r="D15" s="31"/>
      <c r="E15" s="29"/>
      <c r="F15" s="10"/>
      <c r="G15" s="27"/>
      <c r="H15" s="20"/>
      <c r="I15" s="26"/>
    </row>
    <row r="17" spans="8:8" x14ac:dyDescent="0.35">
      <c r="H17" s="19" t="s">
        <v>73</v>
      </c>
    </row>
    <row r="18" spans="8:8" x14ac:dyDescent="0.35">
      <c r="H18" s="28">
        <f ca="1">TODAY()</f>
        <v>46190</v>
      </c>
    </row>
    <row r="19" spans="8:8" x14ac:dyDescent="0.35">
      <c r="H19" s="26"/>
    </row>
  </sheetData>
  <sheetProtection algorithmName="SHA-512" hashValue="OZGLf5h2gVOt8jMNnOt9AGWBfOr8b8Z4iXn1RINzqn/7dqY7gwT/y3YGqSqfafblcjR0r1Uv7BWDr6swhHm7nw==" saltValue="SVBOTSbQw69G8MgJMhvmQA==" spinCount="100000" sheet="1" objects="1" scenarios="1"/>
  <mergeCells count="16">
    <mergeCell ref="I14:I15"/>
    <mergeCell ref="G14:G15"/>
    <mergeCell ref="H18:H19"/>
    <mergeCell ref="E6:E7"/>
    <mergeCell ref="C14:C15"/>
    <mergeCell ref="D14:D15"/>
    <mergeCell ref="E14:E15"/>
    <mergeCell ref="G6:G7"/>
    <mergeCell ref="C6:C7"/>
    <mergeCell ref="D6:D7"/>
    <mergeCell ref="I6:I7"/>
    <mergeCell ref="C10:C11"/>
    <mergeCell ref="D10:D11"/>
    <mergeCell ref="E10:E11"/>
    <mergeCell ref="G10:G11"/>
    <mergeCell ref="I10:I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2E7350-A4F4-4308-8365-A4C6944D5E9C}">
          <x14:formula1>
            <xm:f>Data!$B$2:$B$50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8C19-5AB2-4A41-85B1-DE73B4AE5F8E}">
  <dimension ref="A1:O1"/>
  <sheetViews>
    <sheetView workbookViewId="0">
      <selection activeCell="C19" sqref="C19"/>
    </sheetView>
  </sheetViews>
  <sheetFormatPr defaultRowHeight="14.5" x14ac:dyDescent="0.35"/>
  <cols>
    <col min="1" max="1" width="4.26953125" bestFit="1" customWidth="1"/>
    <col min="2" max="2" width="18.81640625" bestFit="1" customWidth="1"/>
    <col min="3" max="3" width="17.453125" bestFit="1" customWidth="1"/>
    <col min="4" max="4" width="8.1796875" bestFit="1" customWidth="1"/>
    <col min="5" max="6" width="4.81640625" bestFit="1" customWidth="1"/>
    <col min="7" max="7" width="11.81640625" bestFit="1" customWidth="1"/>
    <col min="8" max="8" width="14.7265625" bestFit="1" customWidth="1"/>
    <col min="9" max="9" width="16.54296875" bestFit="1" customWidth="1"/>
    <col min="10" max="10" width="16" bestFit="1" customWidth="1"/>
    <col min="11" max="11" width="20.81640625" bestFit="1" customWidth="1"/>
    <col min="12" max="12" width="19" bestFit="1" customWidth="1"/>
    <col min="13" max="13" width="11" bestFit="1" customWidth="1"/>
    <col min="14" max="14" width="9.54296875" bestFit="1" customWidth="1"/>
    <col min="15" max="15" width="15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Payment structure</vt:lpstr>
      <vt:lpstr>Dashboard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Peter Emmanuel</cp:lastModifiedBy>
  <dcterms:created xsi:type="dcterms:W3CDTF">2024-09-23T21:32:45Z</dcterms:created>
  <dcterms:modified xsi:type="dcterms:W3CDTF">2026-06-18T00:23:29Z</dcterms:modified>
</cp:coreProperties>
</file>